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ncrete-plant-system\exel\"/>
    </mc:Choice>
  </mc:AlternateContent>
  <xr:revisionPtr revIDLastSave="0" documentId="13_ncr:1_{9153F3B8-B119-44F5-8609-23A778CB1067}" xr6:coauthVersionLast="47" xr6:coauthVersionMax="47" xr10:uidLastSave="{00000000-0000-0000-0000-000000000000}"/>
  <bookViews>
    <workbookView xWindow="-120" yWindow="-120" windowWidth="20730" windowHeight="11160" tabRatio="298" xr2:uid="{00000000-000D-0000-FFFF-FFFF00000000}"/>
  </bookViews>
  <sheets>
    <sheet name="TM9" sheetId="1" r:id="rId1"/>
  </sheets>
  <definedNames>
    <definedName name="_xlnm.Print_Area" localSheetId="0">'TM9'!$A$1:$J$62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1" l="1"/>
  <c r="L20" i="1"/>
  <c r="I31" i="1"/>
  <c r="L28" i="1"/>
  <c r="F28" i="1" s="1"/>
  <c r="L29" i="1"/>
  <c r="F29" i="1" s="1"/>
  <c r="G29" i="1" s="1"/>
  <c r="L27" i="1"/>
  <c r="L31" i="1" l="1"/>
  <c r="F27" i="1"/>
  <c r="E33" i="1"/>
  <c r="J31" i="1"/>
  <c r="G33" i="1" l="1"/>
  <c r="J33" i="1"/>
  <c r="F31" i="1"/>
  <c r="G31" i="1" s="1"/>
  <c r="A30" i="1"/>
  <c r="J21" i="1"/>
  <c r="J22" i="1"/>
  <c r="J23" i="1"/>
  <c r="J24" i="1"/>
  <c r="A34" i="1" l="1"/>
  <c r="J28" i="1" l="1"/>
  <c r="J27" i="1" l="1"/>
  <c r="J29" i="1"/>
  <c r="A32" i="1"/>
  <c r="J26" i="1"/>
  <c r="J36" i="1" l="1"/>
  <c r="F26" i="1"/>
  <c r="J35" i="1"/>
  <c r="G27" i="1"/>
  <c r="I39" i="1"/>
  <c r="C39" i="1"/>
  <c r="A25" i="1"/>
  <c r="G24" i="1"/>
  <c r="G23" i="1"/>
  <c r="G22" i="1"/>
  <c r="G21" i="1"/>
  <c r="J20" i="1"/>
  <c r="G20" i="1"/>
  <c r="D16" i="1"/>
  <c r="J37" i="1" l="1"/>
  <c r="G26" i="1"/>
  <c r="G28" i="1"/>
  <c r="G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Aziz</author>
  </authors>
  <commentList>
    <comment ref="E31" authorId="0" shapeId="0" xr:uid="{DF69CC36-47C6-44AA-8F18-3801252AC503}">
      <text>
        <r>
          <rPr>
            <b/>
            <sz val="9"/>
            <color indexed="81"/>
            <rFont val="Tahoma"/>
            <family val="2"/>
          </rPr>
          <t>Ahmed Aziz:</t>
        </r>
        <r>
          <rPr>
            <sz val="9"/>
            <color indexed="81"/>
            <rFont val="Tahoma"/>
            <family val="2"/>
          </rPr>
          <t xml:space="preserve">
الماء 173</t>
        </r>
      </text>
    </comment>
  </commentList>
</comments>
</file>

<file path=xl/sharedStrings.xml><?xml version="1.0" encoding="utf-8"?>
<sst xmlns="http://schemas.openxmlformats.org/spreadsheetml/2006/main" count="88" uniqueCount="87">
  <si>
    <t>المختبر المركزي</t>
  </si>
  <si>
    <t>Test Report</t>
  </si>
  <si>
    <t>CONCRETE TEST</t>
  </si>
  <si>
    <t>Test: Trial Mix Design</t>
  </si>
  <si>
    <t>Plant</t>
  </si>
  <si>
    <t>Strength</t>
  </si>
  <si>
    <t>Site:</t>
  </si>
  <si>
    <t>Mix Reference No:</t>
  </si>
  <si>
    <t>Date:</t>
  </si>
  <si>
    <t>Time Started:</t>
  </si>
  <si>
    <t>Customer / Project:</t>
  </si>
  <si>
    <t>Cement:</t>
  </si>
  <si>
    <t>Trial Mix Size:</t>
  </si>
  <si>
    <t>litre</t>
  </si>
  <si>
    <t>Crushed Sand Moisture</t>
  </si>
  <si>
    <t>Sand Moisture (%):</t>
  </si>
  <si>
    <t>CA1:</t>
  </si>
  <si>
    <t>Cource Aggregate 5-20:</t>
  </si>
  <si>
    <t>Equivalent % of 1 m³:</t>
  </si>
  <si>
    <t>Batch Weights</t>
  </si>
  <si>
    <t>Kg/m3</t>
  </si>
  <si>
    <t>Corrected
Moisture</t>
  </si>
  <si>
    <t>Dry S.G
of
materials</t>
  </si>
  <si>
    <t>Absorption</t>
  </si>
  <si>
    <t>Cementations
Materials</t>
  </si>
  <si>
    <t>Cement</t>
  </si>
  <si>
    <t>Microsilica</t>
  </si>
  <si>
    <t>Filler</t>
  </si>
  <si>
    <t>GGBS</t>
  </si>
  <si>
    <t>Fly Ash</t>
  </si>
  <si>
    <t>Aggregate</t>
  </si>
  <si>
    <t>Crushed Sand</t>
  </si>
  <si>
    <t>N. Sand (FA1)</t>
  </si>
  <si>
    <t>Course Aggregate (CA1)  5-10</t>
  </si>
  <si>
    <t>Course Aggregate 5-20mm</t>
  </si>
  <si>
    <t>Water</t>
  </si>
  <si>
    <t>Admix
ures</t>
  </si>
  <si>
    <t>Air</t>
  </si>
  <si>
    <t>Air content</t>
  </si>
  <si>
    <t>Total</t>
  </si>
  <si>
    <t>Toler. In Volume</t>
  </si>
  <si>
    <t>W/C</t>
  </si>
  <si>
    <t>Cementations Material:</t>
  </si>
  <si>
    <t>Kg</t>
  </si>
  <si>
    <t>Target Slump/Flow Initial</t>
  </si>
  <si>
    <t>mm</t>
  </si>
  <si>
    <t>Target Slump/Flow on</t>
  </si>
  <si>
    <t>T500</t>
  </si>
  <si>
    <t>Seconds</t>
  </si>
  <si>
    <t>V - Funnel</t>
  </si>
  <si>
    <t>Ambient Temperature C*</t>
  </si>
  <si>
    <t>Actual water Added:</t>
  </si>
  <si>
    <t>Time of test</t>
  </si>
  <si>
    <t>5 mnt</t>
  </si>
  <si>
    <t>30 mnt</t>
  </si>
  <si>
    <t>45 mnt</t>
  </si>
  <si>
    <t>60 mnt</t>
  </si>
  <si>
    <t>90 mnt</t>
  </si>
  <si>
    <t>Slump/Flow measured mm</t>
  </si>
  <si>
    <t>Concrete Temperature C*</t>
  </si>
  <si>
    <t>Pot + Concrete :</t>
  </si>
  <si>
    <t>Cubes Made : 150X150X150mm</t>
  </si>
  <si>
    <t>No.</t>
  </si>
  <si>
    <t>Age</t>
  </si>
  <si>
    <t>Strength 1 (Mpa)</t>
  </si>
  <si>
    <t>AVG. Strength (Mpa)</t>
  </si>
  <si>
    <t>1d</t>
  </si>
  <si>
    <t>3d</t>
  </si>
  <si>
    <t>Air Content</t>
  </si>
  <si>
    <t>7d</t>
  </si>
  <si>
    <t>28d</t>
  </si>
  <si>
    <t>56d</t>
  </si>
  <si>
    <t>Note..................................................................................................................................</t>
  </si>
  <si>
    <t>Date of Report :</t>
  </si>
  <si>
    <t>Tested by:</t>
  </si>
  <si>
    <t>Rasool A. Hussein
QA / QC  Manager</t>
  </si>
  <si>
    <t>Kg /
trial
batch</t>
  </si>
  <si>
    <t>Fosrok W650</t>
  </si>
  <si>
    <t>التصحيح</t>
  </si>
  <si>
    <t>Pot Volume            Liter</t>
  </si>
  <si>
    <t>Concrete WT            Kg</t>
  </si>
  <si>
    <t>Fresh Density       Kg/m3</t>
  </si>
  <si>
    <t>Strength 2 (Mpa)</t>
  </si>
  <si>
    <t>Volume liter</t>
  </si>
  <si>
    <t>Adwaa Alasema Plant Lab</t>
  </si>
  <si>
    <t>عدد قوالب المكعبات</t>
  </si>
  <si>
    <t>حجم القالب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</si>
</sst>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u/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72">
    <xf numFmtId="0" fontId="0" fillId="0" borderId="0" xfId="0"/>
    <xf numFmtId="0" fontId="0" fillId="0" borderId="2" xfId="1" applyFont="1" applyBorder="1"/>
    <xf numFmtId="0" fontId="0" fillId="0" borderId="1" xfId="1" applyFont="1" applyBorder="1"/>
    <xf numFmtId="0" fontId="0" fillId="0" borderId="3" xfId="1" applyFont="1" applyBorder="1"/>
    <xf numFmtId="0" fontId="0" fillId="0" borderId="6" xfId="1" applyFont="1" applyBorder="1"/>
    <xf numFmtId="0" fontId="0" fillId="0" borderId="8" xfId="1" applyFont="1" applyBorder="1"/>
    <xf numFmtId="0" fontId="0" fillId="0" borderId="4" xfId="1" applyFont="1" applyBorder="1"/>
    <xf numFmtId="0" fontId="0" fillId="0" borderId="10" xfId="1" applyFont="1" applyBorder="1"/>
    <xf numFmtId="1" fontId="3" fillId="2" borderId="10" xfId="1" applyNumberFormat="1" applyFont="1" applyFill="1" applyBorder="1" applyAlignment="1">
      <alignment horizontal="center" vertical="center" wrapText="1"/>
    </xf>
    <xf numFmtId="2" fontId="0" fillId="0" borderId="11" xfId="1" applyNumberFormat="1" applyFont="1" applyBorder="1" applyAlignment="1">
      <alignment horizontal="center" vertical="center" wrapText="1"/>
    </xf>
    <xf numFmtId="1" fontId="0" fillId="0" borderId="10" xfId="1" applyNumberFormat="1" applyFont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165" fontId="3" fillId="2" borderId="10" xfId="1" applyNumberFormat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left" vertical="center" wrapText="1"/>
    </xf>
    <xf numFmtId="0" fontId="3" fillId="3" borderId="6" xfId="1" applyFont="1" applyFill="1" applyBorder="1" applyAlignment="1">
      <alignment horizontal="center" vertical="center" wrapText="1"/>
    </xf>
    <xf numFmtId="2" fontId="0" fillId="0" borderId="10" xfId="1" applyNumberFormat="1" applyFont="1" applyBorder="1" applyAlignment="1">
      <alignment horizontal="center" vertical="center" wrapText="1"/>
    </xf>
    <xf numFmtId="2" fontId="3" fillId="2" borderId="10" xfId="1" applyNumberFormat="1" applyFont="1" applyFill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0" fillId="2" borderId="7" xfId="1" applyFont="1" applyFill="1" applyBorder="1" applyAlignment="1">
      <alignment horizontal="center" vertical="center" wrapText="1"/>
    </xf>
    <xf numFmtId="1" fontId="0" fillId="2" borderId="7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2" borderId="10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65" fontId="3" fillId="5" borderId="10" xfId="1" applyNumberFormat="1" applyFont="1" applyFill="1" applyBorder="1" applyAlignment="1">
      <alignment horizontal="center" vertical="center" wrapText="1"/>
    </xf>
    <xf numFmtId="165" fontId="4" fillId="5" borderId="10" xfId="1" applyNumberFormat="1" applyFont="1" applyFill="1" applyBorder="1" applyAlignment="1">
      <alignment horizontal="center" vertical="center" wrapText="1"/>
    </xf>
    <xf numFmtId="165" fontId="0" fillId="0" borderId="10" xfId="1" applyNumberFormat="1" applyFont="1" applyFill="1" applyBorder="1"/>
    <xf numFmtId="2" fontId="0" fillId="2" borderId="10" xfId="1" applyNumberFormat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10" fontId="0" fillId="0" borderId="9" xfId="1" applyNumberFormat="1" applyFont="1" applyBorder="1" applyAlignment="1">
      <alignment horizontal="center" vertical="center" wrapText="1"/>
    </xf>
    <xf numFmtId="0" fontId="3" fillId="0" borderId="10" xfId="1" applyFont="1" applyBorder="1" applyAlignment="1">
      <alignment vertical="center" wrapText="1"/>
    </xf>
    <xf numFmtId="0" fontId="0" fillId="0" borderId="20" xfId="1" applyFont="1" applyBorder="1" applyAlignment="1"/>
    <xf numFmtId="0" fontId="0" fillId="0" borderId="21" xfId="1" applyFont="1" applyBorder="1" applyAlignment="1"/>
    <xf numFmtId="0" fontId="0" fillId="0" borderId="18" xfId="1" applyFont="1" applyFill="1" applyBorder="1" applyAlignment="1"/>
    <xf numFmtId="0" fontId="0" fillId="0" borderId="19" xfId="1" applyFont="1" applyFill="1" applyBorder="1" applyAlignment="1"/>
    <xf numFmtId="1" fontId="3" fillId="0" borderId="1" xfId="1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0" fillId="0" borderId="1" xfId="1" applyFont="1" applyFill="1" applyBorder="1"/>
    <xf numFmtId="0" fontId="0" fillId="0" borderId="0" xfId="0" applyFill="1"/>
    <xf numFmtId="0" fontId="0" fillId="6" borderId="0" xfId="0" applyFill="1"/>
    <xf numFmtId="0" fontId="0" fillId="0" borderId="41" xfId="1" applyFont="1" applyBorder="1"/>
    <xf numFmtId="2" fontId="0" fillId="2" borderId="48" xfId="1" applyNumberFormat="1" applyFont="1" applyFill="1" applyBorder="1" applyAlignment="1">
      <alignment horizontal="center" vertical="center" wrapText="1"/>
    </xf>
    <xf numFmtId="0" fontId="0" fillId="0" borderId="37" xfId="1" applyFont="1" applyBorder="1" applyAlignment="1"/>
    <xf numFmtId="0" fontId="0" fillId="0" borderId="38" xfId="1" applyFont="1" applyBorder="1" applyAlignment="1"/>
    <xf numFmtId="0" fontId="0" fillId="0" borderId="50" xfId="1" applyFont="1" applyBorder="1" applyAlignment="1"/>
    <xf numFmtId="0" fontId="0" fillId="0" borderId="51" xfId="1" applyFont="1" applyBorder="1" applyAlignment="1"/>
    <xf numFmtId="0" fontId="3" fillId="0" borderId="52" xfId="1" applyFont="1" applyBorder="1" applyAlignment="1">
      <alignment horizontal="center" vertical="center" wrapText="1"/>
    </xf>
    <xf numFmtId="2" fontId="0" fillId="4" borderId="43" xfId="1" applyNumberFormat="1" applyFont="1" applyFill="1" applyBorder="1" applyAlignment="1"/>
    <xf numFmtId="2" fontId="0" fillId="4" borderId="18" xfId="1" applyNumberFormat="1" applyFont="1" applyFill="1" applyBorder="1" applyAlignment="1"/>
    <xf numFmtId="2" fontId="0" fillId="4" borderId="44" xfId="1" applyNumberFormat="1" applyFont="1" applyFill="1" applyBorder="1" applyAlignment="1"/>
    <xf numFmtId="0" fontId="3" fillId="2" borderId="7" xfId="1" applyNumberFormat="1" applyFont="1" applyFill="1" applyBorder="1" applyAlignment="1">
      <alignment horizontal="center" vertical="center" wrapText="1"/>
    </xf>
    <xf numFmtId="0" fontId="3" fillId="2" borderId="9" xfId="1" applyNumberFormat="1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8" borderId="55" xfId="0" applyNumberFormat="1" applyFill="1" applyBorder="1" applyAlignment="1">
      <alignment horizontal="center" vertical="center"/>
    </xf>
    <xf numFmtId="166" fontId="3" fillId="7" borderId="7" xfId="1" applyNumberFormat="1" applyFont="1" applyFill="1" applyBorder="1" applyAlignment="1">
      <alignment horizontal="center" vertical="center" wrapText="1"/>
    </xf>
    <xf numFmtId="0" fontId="0" fillId="0" borderId="53" xfId="1" applyFont="1" applyBorder="1" applyAlignment="1">
      <alignment horizontal="center" vertical="center"/>
    </xf>
    <xf numFmtId="0" fontId="0" fillId="0" borderId="24" xfId="1" applyFont="1" applyBorder="1" applyAlignment="1">
      <alignment horizontal="center" vertical="center"/>
    </xf>
    <xf numFmtId="0" fontId="0" fillId="0" borderId="40" xfId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3" fillId="9" borderId="1" xfId="1" applyFont="1" applyFill="1" applyBorder="1" applyAlignment="1">
      <alignment vertical="center" wrapText="1"/>
    </xf>
    <xf numFmtId="0" fontId="0" fillId="9" borderId="18" xfId="1" applyFont="1" applyFill="1" applyBorder="1" applyAlignment="1"/>
    <xf numFmtId="0" fontId="0" fillId="9" borderId="19" xfId="1" applyFont="1" applyFill="1" applyBorder="1" applyAlignment="1"/>
    <xf numFmtId="0" fontId="0" fillId="10" borderId="0" xfId="1" applyFont="1" applyFill="1" applyBorder="1"/>
    <xf numFmtId="0" fontId="3" fillId="2" borderId="1" xfId="1" applyFont="1" applyFill="1" applyBorder="1" applyAlignment="1">
      <alignment horizontal="left" vertical="center" wrapText="1"/>
    </xf>
    <xf numFmtId="0" fontId="0" fillId="0" borderId="19" xfId="1" applyFont="1" applyBorder="1"/>
    <xf numFmtId="0" fontId="3" fillId="0" borderId="2" xfId="1" applyFont="1" applyBorder="1" applyAlignment="1">
      <alignment horizontal="center" vertical="center" wrapText="1"/>
    </xf>
    <xf numFmtId="0" fontId="0" fillId="0" borderId="15" xfId="1" applyFont="1" applyBorder="1"/>
    <xf numFmtId="0" fontId="0" fillId="0" borderId="14" xfId="1" applyFont="1" applyBorder="1"/>
    <xf numFmtId="0" fontId="3" fillId="3" borderId="2" xfId="1" applyFont="1" applyFill="1" applyBorder="1" applyAlignment="1">
      <alignment horizontal="center" vertical="center" wrapText="1"/>
    </xf>
    <xf numFmtId="0" fontId="0" fillId="0" borderId="24" xfId="1" applyFont="1" applyBorder="1"/>
    <xf numFmtId="0" fontId="3" fillId="0" borderId="10" xfId="1" applyFont="1" applyBorder="1" applyAlignment="1">
      <alignment horizontal="left" vertical="center" wrapText="1"/>
    </xf>
    <xf numFmtId="0" fontId="0" fillId="0" borderId="25" xfId="1" applyFont="1" applyBorder="1"/>
    <xf numFmtId="0" fontId="0" fillId="0" borderId="26" xfId="1" applyFont="1" applyBorder="1"/>
    <xf numFmtId="0" fontId="3" fillId="0" borderId="2" xfId="1" applyFont="1" applyBorder="1" applyAlignment="1">
      <alignment horizontal="left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0" fillId="0" borderId="0" xfId="0"/>
    <xf numFmtId="0" fontId="3" fillId="2" borderId="3" xfId="1" applyFont="1" applyFill="1" applyBorder="1" applyAlignment="1">
      <alignment horizontal="left" vertical="center" wrapText="1"/>
    </xf>
    <xf numFmtId="0" fontId="0" fillId="0" borderId="20" xfId="1" applyFont="1" applyBorder="1"/>
    <xf numFmtId="0" fontId="0" fillId="0" borderId="21" xfId="1" applyFont="1" applyBorder="1"/>
    <xf numFmtId="0" fontId="0" fillId="0" borderId="12" xfId="1" applyFont="1" applyBorder="1"/>
    <xf numFmtId="0" fontId="0" fillId="0" borderId="13" xfId="1" applyFont="1" applyBorder="1"/>
    <xf numFmtId="0" fontId="0" fillId="0" borderId="39" xfId="1" applyFont="1" applyBorder="1"/>
    <xf numFmtId="0" fontId="0" fillId="0" borderId="37" xfId="1" applyFont="1" applyBorder="1"/>
    <xf numFmtId="0" fontId="0" fillId="0" borderId="38" xfId="1" applyFont="1" applyBorder="1"/>
    <xf numFmtId="0" fontId="3" fillId="0" borderId="1" xfId="1" applyFont="1" applyBorder="1" applyAlignment="1">
      <alignment horizontal="left" vertical="center" wrapText="1"/>
    </xf>
    <xf numFmtId="0" fontId="0" fillId="0" borderId="18" xfId="1" applyFont="1" applyBorder="1"/>
    <xf numFmtId="0" fontId="3" fillId="2" borderId="2" xfId="1" applyFont="1" applyFill="1" applyBorder="1" applyAlignment="1">
      <alignment horizontal="left" vertical="center" wrapText="1"/>
    </xf>
    <xf numFmtId="0" fontId="1" fillId="0" borderId="0" xfId="1" applyFont="1" applyAlignment="1">
      <alignment horizontal="right" vertical="center"/>
    </xf>
    <xf numFmtId="0" fontId="3" fillId="0" borderId="6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3" fillId="0" borderId="3" xfId="1" applyFont="1" applyBorder="1" applyAlignment="1">
      <alignment horizontal="left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0" fontId="0" fillId="0" borderId="16" xfId="1" applyFont="1" applyBorder="1"/>
    <xf numFmtId="0" fontId="0" fillId="0" borderId="17" xfId="1" applyFont="1" applyBorder="1"/>
    <xf numFmtId="0" fontId="0" fillId="0" borderId="23" xfId="1" applyFont="1" applyBorder="1"/>
    <xf numFmtId="0" fontId="0" fillId="0" borderId="35" xfId="1" applyFont="1" applyBorder="1"/>
    <xf numFmtId="0" fontId="3" fillId="0" borderId="0" xfId="1" applyFont="1" applyAlignment="1">
      <alignment horizontal="center" vertical="center" wrapText="1"/>
    </xf>
    <xf numFmtId="0" fontId="4" fillId="0" borderId="10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0" fillId="0" borderId="27" xfId="1" applyFont="1" applyBorder="1"/>
    <xf numFmtId="0" fontId="0" fillId="0" borderId="36" xfId="1" applyFont="1" applyBorder="1"/>
    <xf numFmtId="0" fontId="3" fillId="3" borderId="6" xfId="1" applyFont="1" applyFill="1" applyBorder="1" applyAlignment="1">
      <alignment horizontal="center" vertical="center" wrapText="1"/>
    </xf>
    <xf numFmtId="0" fontId="0" fillId="0" borderId="28" xfId="1" applyFont="1" applyBorder="1"/>
    <xf numFmtId="0" fontId="0" fillId="0" borderId="29" xfId="1" applyFont="1" applyBorder="1"/>
    <xf numFmtId="0" fontId="0" fillId="2" borderId="1" xfId="1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2" borderId="10" xfId="1" applyFont="1" applyFill="1" applyBorder="1" applyAlignment="1">
      <alignment horizontal="left" vertical="center" wrapText="1"/>
    </xf>
    <xf numFmtId="0" fontId="3" fillId="6" borderId="36" xfId="1" applyFont="1" applyFill="1" applyBorder="1" applyAlignment="1">
      <alignment horizontal="left" vertical="center" wrapText="1"/>
    </xf>
    <xf numFmtId="0" fontId="3" fillId="6" borderId="37" xfId="1" applyFont="1" applyFill="1" applyBorder="1" applyAlignment="1">
      <alignment horizontal="left" vertical="center" wrapText="1"/>
    </xf>
    <xf numFmtId="0" fontId="3" fillId="6" borderId="47" xfId="1" applyFont="1" applyFill="1" applyBorder="1" applyAlignment="1">
      <alignment horizontal="left" vertical="center" wrapText="1"/>
    </xf>
    <xf numFmtId="0" fontId="3" fillId="6" borderId="20" xfId="1" applyFont="1" applyFill="1" applyBorder="1" applyAlignment="1">
      <alignment horizontal="left" vertical="center" wrapText="1"/>
    </xf>
    <xf numFmtId="2" fontId="3" fillId="0" borderId="54" xfId="1" applyNumberFormat="1" applyFont="1" applyBorder="1" applyAlignment="1">
      <alignment horizontal="center" vertical="center" wrapText="1"/>
    </xf>
    <xf numFmtId="2" fontId="3" fillId="0" borderId="14" xfId="1" applyNumberFormat="1" applyFont="1" applyBorder="1" applyAlignment="1">
      <alignment horizontal="center" vertical="center" wrapText="1"/>
    </xf>
    <xf numFmtId="0" fontId="3" fillId="0" borderId="41" xfId="1" applyFont="1" applyBorder="1" applyAlignment="1">
      <alignment horizontal="left" vertical="center" wrapText="1"/>
    </xf>
    <xf numFmtId="0" fontId="3" fillId="0" borderId="22" xfId="1" applyFont="1" applyBorder="1" applyAlignment="1">
      <alignment horizontal="center" vertical="center" wrapText="1"/>
    </xf>
    <xf numFmtId="0" fontId="0" fillId="0" borderId="30" xfId="1" applyFont="1" applyBorder="1"/>
    <xf numFmtId="0" fontId="0" fillId="0" borderId="31" xfId="1" applyFont="1" applyBorder="1"/>
    <xf numFmtId="0" fontId="0" fillId="0" borderId="32" xfId="1" applyFont="1" applyBorder="1"/>
    <xf numFmtId="0" fontId="0" fillId="0" borderId="33" xfId="1" applyFont="1" applyBorder="1"/>
    <xf numFmtId="0" fontId="0" fillId="0" borderId="34" xfId="1" applyFont="1" applyBorder="1"/>
    <xf numFmtId="0" fontId="6" fillId="0" borderId="0" xfId="1" applyFont="1" applyAlignment="1">
      <alignment horizontal="left" vertical="center" wrapText="1"/>
    </xf>
    <xf numFmtId="0" fontId="3" fillId="6" borderId="43" xfId="1" applyFont="1" applyFill="1" applyBorder="1" applyAlignment="1">
      <alignment horizontal="left" vertical="center" wrapText="1"/>
    </xf>
    <xf numFmtId="0" fontId="3" fillId="6" borderId="18" xfId="1" applyFont="1" applyFill="1" applyBorder="1" applyAlignment="1">
      <alignment horizontal="left" vertical="center" wrapText="1"/>
    </xf>
    <xf numFmtId="0" fontId="3" fillId="6" borderId="45" xfId="1" applyFont="1" applyFill="1" applyBorder="1" applyAlignment="1">
      <alignment horizontal="left" vertical="center" wrapText="1"/>
    </xf>
    <xf numFmtId="0" fontId="3" fillId="6" borderId="16" xfId="1" applyFont="1" applyFill="1" applyBorder="1" applyAlignment="1">
      <alignment horizontal="left" vertical="center" wrapText="1"/>
    </xf>
    <xf numFmtId="0" fontId="3" fillId="6" borderId="49" xfId="1" applyFont="1" applyFill="1" applyBorder="1" applyAlignment="1">
      <alignment horizontal="left" vertical="center" wrapText="1"/>
    </xf>
    <xf numFmtId="0" fontId="3" fillId="6" borderId="50" xfId="1" applyFont="1" applyFill="1" applyBorder="1" applyAlignment="1">
      <alignment horizontal="left" vertical="center" wrapText="1"/>
    </xf>
    <xf numFmtId="0" fontId="0" fillId="2" borderId="41" xfId="1" applyFont="1" applyFill="1" applyBorder="1" applyAlignment="1">
      <alignment horizontal="center" vertical="center" wrapText="1"/>
    </xf>
    <xf numFmtId="0" fontId="3" fillId="9" borderId="42" xfId="1" applyFont="1" applyFill="1" applyBorder="1" applyAlignment="1">
      <alignment horizontal="left" vertical="center" wrapText="1"/>
    </xf>
    <xf numFmtId="0" fontId="3" fillId="9" borderId="18" xfId="1" applyFont="1" applyFill="1" applyBorder="1" applyAlignment="1">
      <alignment horizontal="left" vertical="center" wrapText="1"/>
    </xf>
    <xf numFmtId="0" fontId="0" fillId="9" borderId="17" xfId="1" applyFont="1" applyFill="1" applyBorder="1" applyAlignment="1">
      <alignment horizontal="center" vertical="center" wrapText="1"/>
    </xf>
    <xf numFmtId="0" fontId="0" fillId="9" borderId="35" xfId="1" applyFont="1" applyFill="1" applyBorder="1" applyAlignment="1">
      <alignment horizontal="center" vertical="center" wrapText="1"/>
    </xf>
    <xf numFmtId="0" fontId="0" fillId="9" borderId="38" xfId="1" applyFont="1" applyFill="1" applyBorder="1" applyAlignment="1">
      <alignment horizontal="center" vertical="center" wrapText="1"/>
    </xf>
    <xf numFmtId="0" fontId="3" fillId="9" borderId="57" xfId="1" applyFont="1" applyFill="1" applyBorder="1" applyAlignment="1">
      <alignment horizontal="center" vertical="center" wrapText="1"/>
    </xf>
    <xf numFmtId="0" fontId="3" fillId="9" borderId="17" xfId="1" applyFont="1" applyFill="1" applyBorder="1" applyAlignment="1">
      <alignment horizontal="center" vertical="center" wrapText="1"/>
    </xf>
    <xf numFmtId="0" fontId="3" fillId="9" borderId="23" xfId="1" applyFont="1" applyFill="1" applyBorder="1" applyAlignment="1">
      <alignment horizontal="center" vertical="center" wrapText="1"/>
    </xf>
    <xf numFmtId="0" fontId="3" fillId="9" borderId="0" xfId="1" applyFont="1" applyFill="1" applyBorder="1" applyAlignment="1">
      <alignment horizontal="center" vertical="center" wrapText="1"/>
    </xf>
    <xf numFmtId="0" fontId="3" fillId="9" borderId="39" xfId="1" applyFont="1" applyFill="1" applyBorder="1" applyAlignment="1">
      <alignment horizontal="center" vertical="center" wrapText="1"/>
    </xf>
    <xf numFmtId="0" fontId="3" fillId="9" borderId="37" xfId="1" applyFont="1" applyFill="1" applyBorder="1" applyAlignment="1">
      <alignment horizontal="center" vertical="center" wrapText="1"/>
    </xf>
    <xf numFmtId="0" fontId="3" fillId="9" borderId="42" xfId="1" applyFont="1" applyFill="1" applyBorder="1" applyAlignment="1">
      <alignment horizontal="center" vertical="center" wrapText="1"/>
    </xf>
    <xf numFmtId="0" fontId="3" fillId="9" borderId="18" xfId="1" applyFont="1" applyFill="1" applyBorder="1" applyAlignment="1">
      <alignment horizontal="center" vertical="center" wrapText="1"/>
    </xf>
    <xf numFmtId="165" fontId="0" fillId="2" borderId="1" xfId="1" applyNumberFormat="1" applyFont="1" applyFill="1" applyBorder="1" applyAlignment="1">
      <alignment horizontal="center" vertical="center" wrapText="1"/>
    </xf>
    <xf numFmtId="165" fontId="0" fillId="0" borderId="19" xfId="1" applyNumberFormat="1" applyFont="1" applyBorder="1"/>
    <xf numFmtId="0" fontId="9" fillId="0" borderId="1" xfId="1" applyFont="1" applyBorder="1" applyAlignment="1">
      <alignment horizontal="left" vertical="center" wrapText="1"/>
    </xf>
    <xf numFmtId="0" fontId="5" fillId="0" borderId="43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10" fontId="3" fillId="2" borderId="42" xfId="1" applyNumberFormat="1" applyFont="1" applyFill="1" applyBorder="1" applyAlignment="1">
      <alignment horizontal="center" vertical="center" wrapText="1"/>
    </xf>
    <xf numFmtId="10" fontId="3" fillId="2" borderId="19" xfId="1" applyNumberFormat="1" applyFont="1" applyFill="1" applyBorder="1" applyAlignment="1">
      <alignment horizontal="center" vertical="center" wrapText="1"/>
    </xf>
    <xf numFmtId="0" fontId="3" fillId="6" borderId="46" xfId="1" applyFont="1" applyFill="1" applyBorder="1" applyAlignment="1">
      <alignment horizontal="left" vertical="center" wrapText="1"/>
    </xf>
    <xf numFmtId="0" fontId="3" fillId="6" borderId="14" xfId="1" applyFont="1" applyFill="1" applyBorder="1" applyAlignment="1">
      <alignment horizontal="left" vertical="center" wrapText="1"/>
    </xf>
    <xf numFmtId="0" fontId="6" fillId="0" borderId="56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10" fontId="3" fillId="2" borderId="10" xfId="1" applyNumberFormat="1" applyFont="1" applyFill="1" applyBorder="1" applyAlignment="1">
      <alignment horizontal="center" vertical="center" wrapText="1"/>
    </xf>
    <xf numFmtId="10" fontId="0" fillId="0" borderId="26" xfId="1" applyNumberFormat="1" applyFont="1" applyBorder="1"/>
    <xf numFmtId="0" fontId="0" fillId="0" borderId="55" xfId="0" applyBorder="1" applyAlignment="1">
      <alignment horizontal="center" vertical="center" wrapText="1"/>
    </xf>
    <xf numFmtId="0" fontId="0" fillId="10" borderId="58" xfId="0" applyFill="1" applyBorder="1" applyAlignment="1">
      <alignment horizontal="center" vertical="center" wrapText="1"/>
    </xf>
    <xf numFmtId="0" fontId="0" fillId="10" borderId="59" xfId="0" applyFill="1" applyBorder="1" applyAlignment="1">
      <alignment horizontal="center" vertical="center" wrapText="1"/>
    </xf>
    <xf numFmtId="165" fontId="0" fillId="5" borderId="58" xfId="0" applyNumberFormat="1" applyFill="1" applyBorder="1" applyAlignment="1">
      <alignment horizontal="center" vertical="center" wrapText="1"/>
    </xf>
    <xf numFmtId="165" fontId="0" fillId="5" borderId="59" xfId="0" applyNumberFormat="1" applyFill="1" applyBorder="1" applyAlignment="1">
      <alignment horizontal="center" vertical="center" wrapText="1"/>
    </xf>
    <xf numFmtId="2" fontId="3" fillId="3" borderId="5" xfId="1" applyNumberFormat="1" applyFont="1" applyFill="1" applyBorder="1" applyAlignment="1">
      <alignment horizontal="center" vertical="center" wrapText="1"/>
    </xf>
    <xf numFmtId="0" fontId="0" fillId="0" borderId="40" xfId="1" applyFont="1" applyBorder="1"/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1"/>
  <sheetViews>
    <sheetView showGridLines="0" tabSelected="1" topLeftCell="B1" zoomScale="90" zoomScaleNormal="90" workbookViewId="0">
      <selection activeCell="E37" sqref="E37"/>
    </sheetView>
  </sheetViews>
  <sheetFormatPr defaultRowHeight="15" x14ac:dyDescent="0.25"/>
  <cols>
    <col min="1" max="1" width="9.85546875" customWidth="1"/>
    <col min="2" max="2" width="28" customWidth="1"/>
    <col min="3" max="4" width="14" customWidth="1"/>
    <col min="5" max="5" width="9.42578125" customWidth="1"/>
    <col min="6" max="6" width="8.85546875" bestFit="1" customWidth="1"/>
    <col min="7" max="7" width="12" customWidth="1"/>
    <col min="8" max="8" width="10" customWidth="1"/>
    <col min="9" max="9" width="9.85546875" customWidth="1"/>
    <col min="10" max="10" width="12" customWidth="1"/>
  </cols>
  <sheetData>
    <row r="1" spans="1:10" ht="15.95" customHeight="1" x14ac:dyDescent="0.25"/>
    <row r="2" spans="1:10" ht="20.100000000000001" customHeight="1" x14ac:dyDescent="0.25">
      <c r="E2" s="80" t="s">
        <v>84</v>
      </c>
      <c r="F2" s="81"/>
      <c r="G2" s="81"/>
      <c r="H2" s="93" t="s">
        <v>0</v>
      </c>
      <c r="I2" s="81"/>
      <c r="J2" s="81"/>
    </row>
    <row r="3" spans="1:10" ht="18" customHeight="1" x14ac:dyDescent="0.25">
      <c r="E3" s="96" t="s">
        <v>1</v>
      </c>
      <c r="F3" s="81"/>
      <c r="G3" s="81"/>
    </row>
    <row r="4" spans="1:10" ht="18" customHeight="1" x14ac:dyDescent="0.25">
      <c r="E4" s="96" t="s">
        <v>2</v>
      </c>
      <c r="F4" s="81"/>
      <c r="G4" s="81"/>
    </row>
    <row r="5" spans="1:10" ht="18" customHeight="1" x14ac:dyDescent="0.25">
      <c r="E5" s="103" t="s">
        <v>3</v>
      </c>
      <c r="F5" s="81"/>
      <c r="G5" s="81"/>
    </row>
    <row r="6" spans="1:10" ht="15.95" customHeight="1" thickBot="1" x14ac:dyDescent="0.3"/>
    <row r="7" spans="1:10" ht="18" customHeight="1" x14ac:dyDescent="0.25">
      <c r="A7" s="95" t="s">
        <v>4</v>
      </c>
      <c r="B7" s="72"/>
      <c r="C7" s="92"/>
      <c r="D7" s="72"/>
      <c r="E7" s="78" t="s">
        <v>5</v>
      </c>
      <c r="F7" s="72"/>
      <c r="G7" s="92"/>
      <c r="H7" s="71"/>
      <c r="I7" s="71"/>
      <c r="J7" s="72"/>
    </row>
    <row r="8" spans="1:10" ht="15.95" customHeight="1" x14ac:dyDescent="0.25">
      <c r="A8" s="94" t="s">
        <v>6</v>
      </c>
      <c r="B8" s="69"/>
      <c r="C8" s="68"/>
      <c r="D8" s="69"/>
      <c r="E8" s="90" t="s">
        <v>7</v>
      </c>
      <c r="F8" s="69"/>
      <c r="G8" s="68"/>
      <c r="H8" s="91"/>
      <c r="I8" s="91"/>
      <c r="J8" s="69"/>
    </row>
    <row r="9" spans="1:10" ht="15.95" customHeight="1" x14ac:dyDescent="0.25">
      <c r="A9" s="94" t="s">
        <v>8</v>
      </c>
      <c r="B9" s="69"/>
      <c r="C9" s="68"/>
      <c r="D9" s="69"/>
      <c r="E9" s="90" t="s">
        <v>9</v>
      </c>
      <c r="F9" s="69"/>
      <c r="G9" s="68"/>
      <c r="H9" s="91"/>
      <c r="I9" s="91"/>
      <c r="J9" s="69"/>
    </row>
    <row r="10" spans="1:10" ht="15.95" customHeight="1" thickBot="1" x14ac:dyDescent="0.3">
      <c r="A10" s="114" t="s">
        <v>10</v>
      </c>
      <c r="B10" s="84"/>
      <c r="C10" s="82"/>
      <c r="D10" s="84"/>
      <c r="E10" s="97" t="s">
        <v>11</v>
      </c>
      <c r="F10" s="84"/>
      <c r="G10" s="82"/>
      <c r="H10" s="83"/>
      <c r="I10" s="83"/>
      <c r="J10" s="84"/>
    </row>
    <row r="11" spans="1:10" ht="15.95" customHeight="1" thickBot="1" x14ac:dyDescent="0.3"/>
    <row r="12" spans="1:10" ht="18" customHeight="1" x14ac:dyDescent="0.25">
      <c r="A12" s="105" t="s">
        <v>12</v>
      </c>
      <c r="B12" s="85"/>
      <c r="C12" s="86"/>
      <c r="D12" s="70" t="s">
        <v>13</v>
      </c>
      <c r="E12" s="71"/>
      <c r="F12" s="72"/>
      <c r="G12" s="78" t="s">
        <v>14</v>
      </c>
      <c r="H12" s="71"/>
      <c r="I12" s="71"/>
      <c r="J12" s="72"/>
    </row>
    <row r="13" spans="1:10" ht="21.95" customHeight="1" x14ac:dyDescent="0.25">
      <c r="A13" s="106"/>
      <c r="B13" s="81"/>
      <c r="C13" s="102"/>
      <c r="D13" s="98"/>
      <c r="E13" s="99"/>
      <c r="F13" s="100"/>
      <c r="G13" s="90" t="s">
        <v>15</v>
      </c>
      <c r="H13" s="91"/>
      <c r="I13" s="91"/>
      <c r="J13" s="53"/>
    </row>
    <row r="14" spans="1:10" ht="18" customHeight="1" x14ac:dyDescent="0.25">
      <c r="A14" s="106"/>
      <c r="B14" s="81"/>
      <c r="C14" s="102"/>
      <c r="D14" s="101"/>
      <c r="E14" s="81"/>
      <c r="F14" s="102"/>
      <c r="G14" s="153" t="s">
        <v>16</v>
      </c>
      <c r="H14" s="91"/>
      <c r="I14" s="91"/>
      <c r="J14" s="53"/>
    </row>
    <row r="15" spans="1:10" ht="18" customHeight="1" thickBot="1" x14ac:dyDescent="0.3">
      <c r="A15" s="107"/>
      <c r="B15" s="88"/>
      <c r="C15" s="89"/>
      <c r="D15" s="87"/>
      <c r="E15" s="88"/>
      <c r="F15" s="89"/>
      <c r="G15" s="97" t="s">
        <v>17</v>
      </c>
      <c r="H15" s="83"/>
      <c r="I15" s="83"/>
      <c r="J15" s="54"/>
    </row>
    <row r="16" spans="1:10" ht="15.95" customHeight="1" x14ac:dyDescent="0.25">
      <c r="A16" s="90" t="s">
        <v>18</v>
      </c>
      <c r="B16" s="91"/>
      <c r="C16" s="69"/>
      <c r="D16" s="112">
        <f>D13/1000</f>
        <v>0</v>
      </c>
      <c r="E16" s="91"/>
      <c r="F16" s="69"/>
    </row>
    <row r="17" spans="1:15" ht="15.95" customHeight="1" thickBot="1" x14ac:dyDescent="0.3"/>
    <row r="18" spans="1:15" ht="24" customHeight="1" x14ac:dyDescent="0.25">
      <c r="A18" s="6"/>
      <c r="B18" s="73" t="s">
        <v>19</v>
      </c>
      <c r="C18" s="85"/>
      <c r="D18" s="86"/>
      <c r="E18" s="73" t="s">
        <v>20</v>
      </c>
      <c r="F18" s="79" t="s">
        <v>21</v>
      </c>
      <c r="G18" s="73" t="s">
        <v>76</v>
      </c>
      <c r="H18" s="73" t="s">
        <v>22</v>
      </c>
      <c r="I18" s="73" t="s">
        <v>23</v>
      </c>
      <c r="J18" s="169" t="s">
        <v>83</v>
      </c>
    </row>
    <row r="19" spans="1:15" ht="24" customHeight="1" x14ac:dyDescent="0.25">
      <c r="A19" s="4"/>
      <c r="B19" s="87"/>
      <c r="C19" s="88"/>
      <c r="D19" s="89"/>
      <c r="E19" s="74"/>
      <c r="F19" s="74"/>
      <c r="G19" s="74"/>
      <c r="H19" s="74"/>
      <c r="I19" s="74"/>
      <c r="J19" s="170"/>
      <c r="L19" s="164" t="s">
        <v>86</v>
      </c>
      <c r="M19" s="164"/>
      <c r="N19" s="164" t="s">
        <v>85</v>
      </c>
      <c r="O19" s="164"/>
    </row>
    <row r="20" spans="1:15" ht="15.95" customHeight="1" x14ac:dyDescent="0.25">
      <c r="A20" s="108" t="s">
        <v>24</v>
      </c>
      <c r="B20" s="75" t="s">
        <v>25</v>
      </c>
      <c r="C20" s="76"/>
      <c r="D20" s="77"/>
      <c r="E20" s="8"/>
      <c r="F20" s="7"/>
      <c r="G20" s="27" t="str">
        <f t="shared" ref="G20:G28" si="0">IF(IF(F20&lt;&gt;"",F20,E20)="","",(IF(F20&lt;&gt;"",F20,E20))*($D$13/1000))</f>
        <v/>
      </c>
      <c r="H20" s="30">
        <v>3.15</v>
      </c>
      <c r="I20" s="7"/>
      <c r="J20" s="9" t="str">
        <f>IF(OR(IF(F20&lt;&gt;"",F20,E20)="",H20=""),"",(IF(F20&lt;&gt;"",F20,E20))/H20)</f>
        <v/>
      </c>
      <c r="L20" s="167">
        <f>N20*3.375</f>
        <v>0</v>
      </c>
      <c r="M20" s="168"/>
      <c r="N20" s="165"/>
      <c r="O20" s="166"/>
    </row>
    <row r="21" spans="1:15" ht="15.95" customHeight="1" x14ac:dyDescent="0.25">
      <c r="A21" s="109"/>
      <c r="B21" s="104" t="s">
        <v>26</v>
      </c>
      <c r="C21" s="76"/>
      <c r="D21" s="77"/>
      <c r="E21" s="25"/>
      <c r="F21" s="7"/>
      <c r="G21" s="28" t="str">
        <f t="shared" si="0"/>
        <v/>
      </c>
      <c r="H21" s="30">
        <v>2.23</v>
      </c>
      <c r="I21" s="7"/>
      <c r="J21" s="9" t="str">
        <f>IF(OR(IF(F21&lt;&gt;"",F21,E21)="",H21=""),"",(IF(F21&lt;&gt;"",F21,E21))/H21)</f>
        <v/>
      </c>
    </row>
    <row r="22" spans="1:15" ht="15.95" customHeight="1" x14ac:dyDescent="0.25">
      <c r="A22" s="109"/>
      <c r="B22" s="104" t="s">
        <v>27</v>
      </c>
      <c r="C22" s="76"/>
      <c r="D22" s="77"/>
      <c r="E22" s="25"/>
      <c r="F22" s="7"/>
      <c r="G22" s="28" t="str">
        <f t="shared" si="0"/>
        <v/>
      </c>
      <c r="H22" s="30"/>
      <c r="I22" s="7"/>
      <c r="J22" s="9" t="str">
        <f>IF(OR(IF(F22&lt;&gt;"",F22,E22)="",H22=""),"",(IF(F22&lt;&gt;"",F22,E22))/H22)</f>
        <v/>
      </c>
    </row>
    <row r="23" spans="1:15" ht="15.95" customHeight="1" x14ac:dyDescent="0.25">
      <c r="A23" s="109"/>
      <c r="B23" s="104" t="s">
        <v>28</v>
      </c>
      <c r="C23" s="76"/>
      <c r="D23" s="77"/>
      <c r="E23" s="25"/>
      <c r="F23" s="7"/>
      <c r="G23" s="28" t="str">
        <f t="shared" si="0"/>
        <v/>
      </c>
      <c r="H23" s="25"/>
      <c r="I23" s="7"/>
      <c r="J23" s="9" t="str">
        <f>IF(OR(IF(F23&lt;&gt;"",F23,E23)="",H23=""),"",(IF(F23&lt;&gt;"",F23,E23))/H23)</f>
        <v/>
      </c>
    </row>
    <row r="24" spans="1:15" ht="15.95" customHeight="1" x14ac:dyDescent="0.25">
      <c r="A24" s="110"/>
      <c r="B24" s="104" t="s">
        <v>29</v>
      </c>
      <c r="C24" s="76"/>
      <c r="D24" s="77"/>
      <c r="E24" s="25"/>
      <c r="F24" s="7"/>
      <c r="G24" s="28" t="str">
        <f t="shared" si="0"/>
        <v/>
      </c>
      <c r="H24" s="30"/>
      <c r="I24" s="7"/>
      <c r="J24" s="9" t="str">
        <f>IF(OR(IF(F24&lt;&gt;"",F24,E24)="",H24=""),"",(IF(F24&lt;&gt;"",F24,E24))/H24)</f>
        <v/>
      </c>
    </row>
    <row r="25" spans="1:15" ht="14.25" customHeight="1" x14ac:dyDescent="0.25">
      <c r="A25" s="50" t="str">
        <f>IF(OR(IF(F25&lt;&gt;"",F25,E25)="",H25=""),"",(IF(F25&lt;&gt;"",F25,E25))/H25)</f>
        <v/>
      </c>
      <c r="B25" s="51"/>
      <c r="C25" s="51"/>
      <c r="D25" s="51"/>
      <c r="E25" s="51"/>
      <c r="F25" s="51"/>
      <c r="G25" s="51"/>
      <c r="H25" s="51"/>
      <c r="I25" s="51"/>
      <c r="J25" s="52"/>
    </row>
    <row r="26" spans="1:15" ht="15.95" customHeight="1" x14ac:dyDescent="0.25">
      <c r="A26" s="108" t="s">
        <v>30</v>
      </c>
      <c r="B26" s="75" t="s">
        <v>31</v>
      </c>
      <c r="C26" s="76"/>
      <c r="D26" s="77"/>
      <c r="E26" s="8"/>
      <c r="F26" s="10" t="str">
        <f>IF(E26="","",E26*(1+$H$12))</f>
        <v/>
      </c>
      <c r="G26" s="27" t="str">
        <f t="shared" si="0"/>
        <v/>
      </c>
      <c r="H26" s="11"/>
      <c r="I26" s="12">
        <v>1.3</v>
      </c>
      <c r="J26" s="9" t="str">
        <f>IF(OR(E26="",H26=""),"",E26/H26)</f>
        <v/>
      </c>
      <c r="L26" s="56" t="s">
        <v>78</v>
      </c>
    </row>
    <row r="27" spans="1:15" ht="15.95" customHeight="1" x14ac:dyDescent="0.25">
      <c r="A27" s="109"/>
      <c r="B27" s="116" t="s">
        <v>32</v>
      </c>
      <c r="C27" s="76"/>
      <c r="D27" s="77"/>
      <c r="E27" s="8"/>
      <c r="F27" s="10">
        <f>E27+L27</f>
        <v>0</v>
      </c>
      <c r="G27" s="27">
        <f>IF(IF(F27&lt;&gt;"",F27,E27)="","",(IF(F27&lt;&gt;"",F27,E27))*($D$13/1000))</f>
        <v>0</v>
      </c>
      <c r="H27" s="12">
        <v>2.6</v>
      </c>
      <c r="I27" s="12">
        <v>1.6</v>
      </c>
      <c r="J27" s="9" t="str">
        <f>IF(OR(E27="",H27=""),"",E27/H27)</f>
        <v/>
      </c>
      <c r="L27" s="57">
        <f>(J13-I27)*E27/100</f>
        <v>0</v>
      </c>
    </row>
    <row r="28" spans="1:15" ht="15.95" customHeight="1" x14ac:dyDescent="0.25">
      <c r="A28" s="109"/>
      <c r="B28" s="75" t="s">
        <v>33</v>
      </c>
      <c r="C28" s="76"/>
      <c r="D28" s="77"/>
      <c r="E28" s="8"/>
      <c r="F28" s="10">
        <f>E28+L28</f>
        <v>0</v>
      </c>
      <c r="G28" s="27">
        <f t="shared" si="0"/>
        <v>0</v>
      </c>
      <c r="H28" s="12">
        <v>2.6389999999999998</v>
      </c>
      <c r="I28" s="12">
        <v>0.8</v>
      </c>
      <c r="J28" s="9" t="str">
        <f>IF(OR(E28="",H28=""),"",E28/H28)</f>
        <v/>
      </c>
      <c r="L28" s="57">
        <f>(J14-I28)*E28/100</f>
        <v>0</v>
      </c>
    </row>
    <row r="29" spans="1:15" ht="15.95" customHeight="1" x14ac:dyDescent="0.25">
      <c r="A29" s="110"/>
      <c r="B29" s="116" t="s">
        <v>34</v>
      </c>
      <c r="C29" s="76"/>
      <c r="D29" s="77"/>
      <c r="E29" s="8"/>
      <c r="F29" s="10">
        <f>E29+L29</f>
        <v>0</v>
      </c>
      <c r="G29" s="27">
        <f>IF(IF(F29&lt;&gt;"",F29,E29)="","",(IF(F29&lt;&gt;"",F29,E29))*($D$13/1000))</f>
        <v>0</v>
      </c>
      <c r="H29" s="12">
        <v>2.63</v>
      </c>
      <c r="I29" s="12">
        <v>0.8</v>
      </c>
      <c r="J29" s="9" t="str">
        <f>IF(OR(E29="",H29=""),"",E29/H29)</f>
        <v/>
      </c>
      <c r="L29" s="57">
        <f>(J15-I29)*E29/100</f>
        <v>0</v>
      </c>
    </row>
    <row r="30" spans="1:15" ht="12.75" customHeight="1" x14ac:dyDescent="0.25">
      <c r="A30" s="50" t="str">
        <f>IF(OR(IF(F30&lt;&gt;"",F30,E30)="",H30=""),"",(IF(F30&lt;&gt;"",F30,E30))/H30)</f>
        <v/>
      </c>
      <c r="B30" s="51"/>
      <c r="C30" s="51"/>
      <c r="D30" s="51"/>
      <c r="E30" s="51"/>
      <c r="F30" s="51"/>
      <c r="G30" s="51"/>
      <c r="H30" s="51"/>
      <c r="I30" s="51"/>
      <c r="J30" s="52"/>
    </row>
    <row r="31" spans="1:15" ht="15.95" customHeight="1" x14ac:dyDescent="0.25">
      <c r="A31" s="14" t="s">
        <v>35</v>
      </c>
      <c r="B31" s="113" t="s">
        <v>35</v>
      </c>
      <c r="C31" s="76"/>
      <c r="D31" s="77"/>
      <c r="E31" s="8">
        <v>170</v>
      </c>
      <c r="F31" s="10">
        <f>I31-L31</f>
        <v>170</v>
      </c>
      <c r="G31" s="27">
        <f>IF(IF(F31&lt;&gt;"",F31,E31)="","",(IF(F31&lt;&gt;"",F31,E31))*($D$13/1000))</f>
        <v>0</v>
      </c>
      <c r="H31" s="15">
        <v>1</v>
      </c>
      <c r="I31" s="15">
        <f>E31-(E27*(I27/100)+E28*(I28/100)+E29*(I29/100))</f>
        <v>170</v>
      </c>
      <c r="J31" s="9">
        <f>IF(OR(E31="",H31=""),"",E31/H31)</f>
        <v>170</v>
      </c>
      <c r="L31" s="57">
        <f>L27+L28+L29</f>
        <v>0</v>
      </c>
    </row>
    <row r="32" spans="1:15" ht="14.25" customHeight="1" x14ac:dyDescent="0.25">
      <c r="A32" s="50" t="str">
        <f>IF(OR(IF(F32&lt;&gt;"",F32,E32)="",H32=""),"",(IF(F32&lt;&gt;"",F32,E32))/H32)</f>
        <v/>
      </c>
      <c r="B32" s="51"/>
      <c r="C32" s="51"/>
      <c r="D32" s="51"/>
      <c r="E32" s="51"/>
      <c r="F32" s="51"/>
      <c r="G32" s="51"/>
      <c r="H32" s="51"/>
      <c r="I32" s="51"/>
      <c r="J32" s="52"/>
    </row>
    <row r="33" spans="1:10" ht="27.75" customHeight="1" x14ac:dyDescent="0.25">
      <c r="A33" s="31" t="s">
        <v>36</v>
      </c>
      <c r="B33" s="13" t="s">
        <v>77</v>
      </c>
      <c r="C33" s="162">
        <v>8.6E-3</v>
      </c>
      <c r="D33" s="163"/>
      <c r="E33" s="12" t="str">
        <f>IF(OR(COUNTA(E20:E24)=0,C33=""),"",SUM(E20:E24)*C33)</f>
        <v/>
      </c>
      <c r="F33" s="7"/>
      <c r="G33" s="27" t="str">
        <f>IF(E33="","",E33*($D$13/1000))</f>
        <v/>
      </c>
      <c r="H33" s="16">
        <v>1.05</v>
      </c>
      <c r="I33" s="7"/>
      <c r="J33" s="9" t="str">
        <f>IF(OR(IF(F33&lt;&gt;"",F33,E33)="",H33=""),"",(IF(F33&lt;&gt;"",F33,E33))/H33)</f>
        <v/>
      </c>
    </row>
    <row r="34" spans="1:10" ht="12.75" customHeight="1" x14ac:dyDescent="0.25">
      <c r="A34" s="50" t="str">
        <f>IF(OR(IF(F34&lt;&gt;"",F34,E34)="",H34=""),"",(IF(F34&lt;&gt;"",F34,E34))/H34)</f>
        <v/>
      </c>
      <c r="B34" s="51"/>
      <c r="C34" s="51"/>
      <c r="D34" s="51"/>
      <c r="E34" s="51"/>
      <c r="F34" s="51"/>
      <c r="G34" s="51"/>
      <c r="H34" s="51"/>
      <c r="I34" s="51"/>
      <c r="J34" s="52"/>
    </row>
    <row r="35" spans="1:10" ht="15.95" customHeight="1" x14ac:dyDescent="0.25">
      <c r="A35" s="14" t="s">
        <v>37</v>
      </c>
      <c r="B35" s="33" t="s">
        <v>38</v>
      </c>
      <c r="C35" s="156">
        <v>0.02</v>
      </c>
      <c r="D35" s="157"/>
      <c r="F35" s="7"/>
      <c r="G35" s="29"/>
      <c r="H35" s="7"/>
      <c r="I35" s="7"/>
      <c r="J35" s="9">
        <f>IF(C35="","",C35*1000)</f>
        <v>20</v>
      </c>
    </row>
    <row r="36" spans="1:10" s="41" customFormat="1" ht="15.95" customHeight="1" x14ac:dyDescent="0.25">
      <c r="A36" s="154" t="s">
        <v>39</v>
      </c>
      <c r="B36" s="155"/>
      <c r="C36" s="36"/>
      <c r="D36" s="37"/>
      <c r="E36" s="171" t="e">
        <f>SUM(E20:E24)+SUM(E26:E29)+I31+E33</f>
        <v>#VALUE!</v>
      </c>
      <c r="F36" s="38"/>
      <c r="G36" s="39">
        <f>SUM(G20:G33)</f>
        <v>0</v>
      </c>
      <c r="H36" s="40"/>
      <c r="I36" s="40"/>
      <c r="J36" s="58" t="e">
        <f>IFERROR(SUM(J20:J24)+SUM(J26:J29)+J31+J33,"")-J35</f>
        <v>#VALUE!</v>
      </c>
    </row>
    <row r="37" spans="1:10" ht="15.95" customHeight="1" thickBot="1" x14ac:dyDescent="0.3">
      <c r="A37" s="5"/>
      <c r="B37" s="3"/>
      <c r="C37" s="3"/>
      <c r="D37" s="3"/>
      <c r="E37" s="3"/>
      <c r="F37" s="3"/>
      <c r="G37" s="3"/>
      <c r="H37" s="160" t="s">
        <v>40</v>
      </c>
      <c r="I37" s="161"/>
      <c r="J37" s="32" t="e">
        <f>IF(J36="","",(J36-1000)/1000)</f>
        <v>#VALUE!</v>
      </c>
    </row>
    <row r="38" spans="1:10" ht="15.95" customHeight="1" thickBot="1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</row>
    <row r="39" spans="1:10" ht="15.95" customHeight="1" x14ac:dyDescent="0.25">
      <c r="A39" s="158" t="s">
        <v>41</v>
      </c>
      <c r="B39" s="159"/>
      <c r="C39" s="121" t="str">
        <f>IF(SUM(E20:E24)&gt;0,I31/SUM(E20:E24),"")</f>
        <v/>
      </c>
      <c r="D39" s="122"/>
      <c r="E39" s="1"/>
      <c r="F39" s="78" t="s">
        <v>42</v>
      </c>
      <c r="G39" s="71"/>
      <c r="H39" s="72"/>
      <c r="I39" s="17">
        <f>SUM(E20:E24)</f>
        <v>0</v>
      </c>
      <c r="J39" s="18" t="s">
        <v>43</v>
      </c>
    </row>
    <row r="40" spans="1:10" ht="15.95" customHeight="1" x14ac:dyDescent="0.25">
      <c r="A40" s="131" t="s">
        <v>44</v>
      </c>
      <c r="B40" s="132"/>
      <c r="C40" s="111"/>
      <c r="D40" s="69"/>
      <c r="G40" s="20" t="s">
        <v>45</v>
      </c>
      <c r="H40" s="90" t="s">
        <v>46</v>
      </c>
      <c r="I40" s="91"/>
      <c r="J40" s="21"/>
    </row>
    <row r="41" spans="1:10" ht="15.95" customHeight="1" x14ac:dyDescent="0.25">
      <c r="A41" s="131" t="s">
        <v>47</v>
      </c>
      <c r="B41" s="132"/>
      <c r="C41" s="111"/>
      <c r="D41" s="69"/>
      <c r="G41" s="20" t="s">
        <v>48</v>
      </c>
      <c r="H41" s="90" t="s">
        <v>49</v>
      </c>
      <c r="I41" s="91"/>
      <c r="J41" s="22"/>
    </row>
    <row r="42" spans="1:10" ht="15.95" customHeight="1" thickBot="1" x14ac:dyDescent="0.3">
      <c r="A42" s="133" t="s">
        <v>50</v>
      </c>
      <c r="B42" s="134"/>
      <c r="C42" s="137"/>
      <c r="D42" s="100"/>
      <c r="G42" s="43"/>
      <c r="H42" s="123" t="s">
        <v>51</v>
      </c>
      <c r="I42" s="99"/>
      <c r="J42" s="44"/>
    </row>
    <row r="43" spans="1:10" ht="15.95" customHeight="1" thickBot="1" x14ac:dyDescent="0.3">
      <c r="A43" s="135" t="s">
        <v>52</v>
      </c>
      <c r="B43" s="136"/>
      <c r="C43" s="47"/>
      <c r="D43" s="48"/>
      <c r="E43" s="49" t="s">
        <v>53</v>
      </c>
      <c r="F43" s="49" t="s">
        <v>54</v>
      </c>
      <c r="G43" s="49" t="s">
        <v>55</v>
      </c>
      <c r="H43" s="49" t="s">
        <v>56</v>
      </c>
      <c r="I43" s="49" t="s">
        <v>57</v>
      </c>
      <c r="J43" s="59"/>
    </row>
    <row r="44" spans="1:10" ht="15.95" customHeight="1" x14ac:dyDescent="0.25">
      <c r="A44" s="117" t="s">
        <v>58</v>
      </c>
      <c r="B44" s="118"/>
      <c r="C44" s="45"/>
      <c r="D44" s="46"/>
      <c r="E44" s="60"/>
      <c r="F44" s="60"/>
      <c r="G44" s="60"/>
      <c r="H44" s="60"/>
      <c r="I44" s="60"/>
      <c r="J44" s="61"/>
    </row>
    <row r="45" spans="1:10" ht="15.95" customHeight="1" thickBot="1" x14ac:dyDescent="0.3">
      <c r="A45" s="119" t="s">
        <v>59</v>
      </c>
      <c r="B45" s="120"/>
      <c r="C45" s="34"/>
      <c r="D45" s="35"/>
      <c r="E45" s="62"/>
      <c r="F45" s="62"/>
      <c r="G45" s="62"/>
      <c r="H45" s="62"/>
      <c r="I45" s="62"/>
      <c r="J45" s="63"/>
    </row>
    <row r="46" spans="1:10" ht="21.95" customHeight="1" x14ac:dyDescent="0.25">
      <c r="A46" s="149" t="s">
        <v>60</v>
      </c>
      <c r="B46" s="150"/>
      <c r="C46" s="150"/>
      <c r="D46" s="150"/>
      <c r="E46" s="140" t="s">
        <v>61</v>
      </c>
      <c r="F46" s="64"/>
      <c r="G46" s="65"/>
      <c r="H46" s="65"/>
      <c r="I46" s="65"/>
      <c r="J46" s="66"/>
    </row>
    <row r="47" spans="1:10" ht="38.25" customHeight="1" x14ac:dyDescent="0.25">
      <c r="A47" s="138" t="s">
        <v>80</v>
      </c>
      <c r="B47" s="139"/>
      <c r="C47" s="111"/>
      <c r="D47" s="69"/>
      <c r="E47" s="141"/>
      <c r="F47" s="23" t="s">
        <v>62</v>
      </c>
      <c r="G47" s="23" t="s">
        <v>63</v>
      </c>
      <c r="H47" s="23" t="s">
        <v>64</v>
      </c>
      <c r="I47" s="23" t="s">
        <v>82</v>
      </c>
      <c r="J47" s="26" t="s">
        <v>65</v>
      </c>
    </row>
    <row r="48" spans="1:10" ht="15.95" customHeight="1" x14ac:dyDescent="0.25">
      <c r="A48" s="138" t="s">
        <v>79</v>
      </c>
      <c r="B48" s="139"/>
      <c r="C48" s="111"/>
      <c r="D48" s="69"/>
      <c r="E48" s="141"/>
      <c r="F48" s="2"/>
      <c r="G48" s="24" t="s">
        <v>66</v>
      </c>
      <c r="H48" s="55"/>
      <c r="I48" s="55"/>
      <c r="J48" s="19"/>
    </row>
    <row r="49" spans="1:10" ht="15.95" customHeight="1" x14ac:dyDescent="0.25">
      <c r="A49" s="138" t="s">
        <v>81</v>
      </c>
      <c r="B49" s="139"/>
      <c r="C49" s="151"/>
      <c r="D49" s="152"/>
      <c r="E49" s="141"/>
      <c r="F49" s="2"/>
      <c r="G49" s="24" t="s">
        <v>67</v>
      </c>
      <c r="H49" s="55"/>
      <c r="I49" s="55"/>
      <c r="J49" s="19"/>
    </row>
    <row r="50" spans="1:10" ht="15.95" customHeight="1" x14ac:dyDescent="0.25">
      <c r="A50" s="143" t="s">
        <v>68</v>
      </c>
      <c r="B50" s="144"/>
      <c r="C50" s="137"/>
      <c r="D50" s="100"/>
      <c r="E50" s="141"/>
      <c r="F50" s="2"/>
      <c r="G50" s="24" t="s">
        <v>69</v>
      </c>
      <c r="H50" s="55"/>
      <c r="I50" s="55"/>
      <c r="J50" s="19"/>
    </row>
    <row r="51" spans="1:10" ht="15.95" customHeight="1" x14ac:dyDescent="0.25">
      <c r="A51" s="145"/>
      <c r="B51" s="146"/>
      <c r="C51" s="67"/>
      <c r="D51" s="67"/>
      <c r="E51" s="141"/>
      <c r="F51" s="2"/>
      <c r="G51" s="24" t="s">
        <v>70</v>
      </c>
      <c r="H51" s="55"/>
      <c r="I51" s="55"/>
      <c r="J51" s="19"/>
    </row>
    <row r="52" spans="1:10" ht="15.95" customHeight="1" x14ac:dyDescent="0.25">
      <c r="A52" s="147"/>
      <c r="B52" s="148"/>
      <c r="C52" s="67"/>
      <c r="D52" s="67"/>
      <c r="E52" s="142"/>
      <c r="F52" s="2"/>
      <c r="G52" s="24" t="s">
        <v>71</v>
      </c>
      <c r="H52" s="55"/>
      <c r="I52" s="55"/>
      <c r="J52" s="19"/>
    </row>
    <row r="53" spans="1:10" ht="15.95" customHeight="1" x14ac:dyDescent="0.25"/>
    <row r="54" spans="1:10" ht="15.95" customHeight="1" x14ac:dyDescent="0.25">
      <c r="A54" s="130" t="s">
        <v>72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0" ht="15.95" customHeight="1" x14ac:dyDescent="0.25">
      <c r="A55" s="115" t="s">
        <v>73</v>
      </c>
      <c r="B55" s="81"/>
      <c r="C55" s="81"/>
      <c r="D55" s="81"/>
      <c r="E55" s="81"/>
      <c r="F55" s="81"/>
      <c r="G55" s="81"/>
      <c r="H55" s="81"/>
      <c r="I55" s="81"/>
      <c r="J55" s="81"/>
    </row>
    <row r="56" spans="1:10" ht="15.95" customHeight="1" x14ac:dyDescent="0.25"/>
    <row r="57" spans="1:10" ht="15.95" customHeight="1" thickBot="1" x14ac:dyDescent="0.3"/>
    <row r="58" spans="1:10" ht="15.95" customHeight="1" thickBot="1" x14ac:dyDescent="0.3">
      <c r="A58" s="124" t="s">
        <v>74</v>
      </c>
      <c r="B58" s="85"/>
      <c r="C58" s="85"/>
      <c r="D58" s="85"/>
      <c r="E58" s="85"/>
      <c r="F58" s="125"/>
      <c r="G58" s="124" t="s">
        <v>75</v>
      </c>
      <c r="H58" s="85"/>
      <c r="I58" s="85"/>
      <c r="J58" s="125"/>
    </row>
    <row r="59" spans="1:10" ht="15.95" customHeight="1" x14ac:dyDescent="0.25">
      <c r="A59" s="106"/>
      <c r="B59" s="81"/>
      <c r="C59" s="81"/>
      <c r="D59" s="81"/>
      <c r="E59" s="81"/>
      <c r="F59" s="126"/>
      <c r="G59" s="106"/>
      <c r="H59" s="81"/>
      <c r="I59" s="81"/>
      <c r="J59" s="126"/>
    </row>
    <row r="60" spans="1:10" ht="15.95" customHeight="1" x14ac:dyDescent="0.25">
      <c r="A60" s="106"/>
      <c r="B60" s="81"/>
      <c r="C60" s="81"/>
      <c r="D60" s="81"/>
      <c r="E60" s="81"/>
      <c r="F60" s="126"/>
      <c r="G60" s="106"/>
      <c r="H60" s="81"/>
      <c r="I60" s="81"/>
      <c r="J60" s="126"/>
    </row>
    <row r="61" spans="1:10" ht="15.95" customHeight="1" thickBot="1" x14ac:dyDescent="0.3">
      <c r="A61" s="127"/>
      <c r="B61" s="128"/>
      <c r="C61" s="128"/>
      <c r="D61" s="128"/>
      <c r="E61" s="128"/>
      <c r="F61" s="129"/>
      <c r="G61" s="127"/>
      <c r="H61" s="128"/>
      <c r="I61" s="128"/>
      <c r="J61" s="129"/>
    </row>
    <row r="62" spans="1:10" ht="15.95" customHeight="1" x14ac:dyDescent="0.25"/>
    <row r="63" spans="1:10" ht="15.95" customHeight="1" x14ac:dyDescent="0.25"/>
    <row r="64" spans="1:10" ht="15.95" customHeight="1" x14ac:dyDescent="0.25"/>
    <row r="65" ht="15.95" customHeight="1" x14ac:dyDescent="0.25"/>
    <row r="66" ht="15.95" customHeight="1" x14ac:dyDescent="0.25"/>
    <row r="67" ht="15.95" customHeight="1" x14ac:dyDescent="0.25"/>
    <row r="68" ht="15.95" customHeight="1" x14ac:dyDescent="0.25"/>
    <row r="69" ht="15.95" customHeight="1" x14ac:dyDescent="0.25"/>
    <row r="70" ht="15.95" customHeight="1" x14ac:dyDescent="0.25"/>
    <row r="71" ht="15.95" customHeight="1" x14ac:dyDescent="0.25"/>
  </sheetData>
  <mergeCells count="86">
    <mergeCell ref="G58:J61"/>
    <mergeCell ref="J18:J19"/>
    <mergeCell ref="H37:I37"/>
    <mergeCell ref="C33:D33"/>
    <mergeCell ref="B29:D29"/>
    <mergeCell ref="N19:O19"/>
    <mergeCell ref="L19:M19"/>
    <mergeCell ref="N20:O20"/>
    <mergeCell ref="L20:M20"/>
    <mergeCell ref="B22:D22"/>
    <mergeCell ref="C41:D41"/>
    <mergeCell ref="A36:B36"/>
    <mergeCell ref="C35:D35"/>
    <mergeCell ref="A40:B40"/>
    <mergeCell ref="A39:B39"/>
    <mergeCell ref="A58:F61"/>
    <mergeCell ref="A54:J54"/>
    <mergeCell ref="A41:B41"/>
    <mergeCell ref="A42:B42"/>
    <mergeCell ref="A43:B43"/>
    <mergeCell ref="C42:D42"/>
    <mergeCell ref="A48:B48"/>
    <mergeCell ref="A49:B49"/>
    <mergeCell ref="A47:B47"/>
    <mergeCell ref="E46:E52"/>
    <mergeCell ref="C50:D50"/>
    <mergeCell ref="A50:B52"/>
    <mergeCell ref="A46:D46"/>
    <mergeCell ref="C47:D47"/>
    <mergeCell ref="C48:D48"/>
    <mergeCell ref="C49:D49"/>
    <mergeCell ref="A8:B8"/>
    <mergeCell ref="C8:D8"/>
    <mergeCell ref="B31:D31"/>
    <mergeCell ref="A10:B10"/>
    <mergeCell ref="A55:J55"/>
    <mergeCell ref="B21:D21"/>
    <mergeCell ref="A16:C16"/>
    <mergeCell ref="B23:D23"/>
    <mergeCell ref="B27:D27"/>
    <mergeCell ref="A44:B44"/>
    <mergeCell ref="A45:B45"/>
    <mergeCell ref="C39:D39"/>
    <mergeCell ref="H18:H19"/>
    <mergeCell ref="E18:E19"/>
    <mergeCell ref="H42:I42"/>
    <mergeCell ref="F39:H39"/>
    <mergeCell ref="E3:G3"/>
    <mergeCell ref="E5:G5"/>
    <mergeCell ref="H41:I41"/>
    <mergeCell ref="E9:F9"/>
    <mergeCell ref="B24:D24"/>
    <mergeCell ref="B26:D26"/>
    <mergeCell ref="A12:C15"/>
    <mergeCell ref="A26:A29"/>
    <mergeCell ref="H40:I40"/>
    <mergeCell ref="C40:D40"/>
    <mergeCell ref="B28:D28"/>
    <mergeCell ref="G8:J8"/>
    <mergeCell ref="D16:F16"/>
    <mergeCell ref="G9:J9"/>
    <mergeCell ref="A20:A24"/>
    <mergeCell ref="I18:I19"/>
    <mergeCell ref="E2:G2"/>
    <mergeCell ref="G10:J10"/>
    <mergeCell ref="B18:D19"/>
    <mergeCell ref="G13:I13"/>
    <mergeCell ref="C7:D7"/>
    <mergeCell ref="E7:F7"/>
    <mergeCell ref="H2:J2"/>
    <mergeCell ref="A9:B9"/>
    <mergeCell ref="A7:B7"/>
    <mergeCell ref="E8:F8"/>
    <mergeCell ref="E4:G4"/>
    <mergeCell ref="G15:I15"/>
    <mergeCell ref="D13:F15"/>
    <mergeCell ref="G7:J7"/>
    <mergeCell ref="C10:D10"/>
    <mergeCell ref="E10:F10"/>
    <mergeCell ref="C9:D9"/>
    <mergeCell ref="D12:F12"/>
    <mergeCell ref="G18:G19"/>
    <mergeCell ref="B20:D20"/>
    <mergeCell ref="G12:J12"/>
    <mergeCell ref="F18:F19"/>
    <mergeCell ref="G14:I14"/>
  </mergeCells>
  <pageMargins left="0.25" right="0.25" top="0.75" bottom="0.75" header="0.3" footer="0.3"/>
  <pageSetup paperSize="9" scale="6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TM9</vt:lpstr>
      <vt:lpstr>'TM9'!Print_Area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Aziz</dc:creator>
  <cp:lastModifiedBy>Ahmed Aziz</cp:lastModifiedBy>
  <cp:lastPrinted>2026-01-21T06:04:45Z</cp:lastPrinted>
  <dcterms:created xsi:type="dcterms:W3CDTF">2025-12-12T21:27:48Z</dcterms:created>
  <dcterms:modified xsi:type="dcterms:W3CDTF">2026-02-25T08:23:54Z</dcterms:modified>
</cp:coreProperties>
</file>